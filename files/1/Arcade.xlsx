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756" windowWidth="23256" windowHeight="13176" tabRatio="500" activeTab="1"/>
  </bookViews>
  <sheets>
    <sheet name="QT" sheetId="1" r:id="rId1"/>
    <sheet name="Arcade" sheetId="2" r:id="rId2"/>
    <sheet name="WEBсайт" sheetId="3" r:id="rId3"/>
    <sheet name="WEBнавыкбот" sheetId="4" r:id="rId4"/>
  </sheets>
  <calcPr calcId="12451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6" i="4"/>
  <c r="D17"/>
  <c r="D18"/>
  <c r="D19"/>
  <c r="D20"/>
  <c r="D21"/>
  <c r="D22"/>
  <c r="D23"/>
  <c r="D24"/>
  <c r="D25"/>
  <c r="D26"/>
  <c r="D27"/>
  <c r="D28"/>
  <c r="D29"/>
  <c r="D30"/>
  <c r="D31"/>
  <c r="D15"/>
  <c r="D16" i="3"/>
  <c r="D17"/>
  <c r="D18"/>
  <c r="D19"/>
  <c r="D20"/>
  <c r="D21"/>
  <c r="D22"/>
  <c r="D23"/>
  <c r="D24"/>
  <c r="D25"/>
  <c r="D26"/>
  <c r="D27"/>
  <c r="D28"/>
  <c r="D29"/>
  <c r="D30"/>
  <c r="D31"/>
  <c r="D15"/>
  <c r="D16" i="2"/>
  <c r="D17"/>
  <c r="D18"/>
  <c r="D19"/>
  <c r="D20"/>
  <c r="D21"/>
  <c r="D22"/>
  <c r="D23"/>
  <c r="D24"/>
  <c r="D25"/>
  <c r="D26"/>
  <c r="D27"/>
  <c r="D28"/>
  <c r="D29"/>
  <c r="D30"/>
  <c r="D31"/>
  <c r="D15"/>
  <c r="D31" i="1"/>
  <c r="D30"/>
  <c r="D29"/>
  <c r="D28"/>
  <c r="D27"/>
  <c r="D26"/>
  <c r="D25"/>
  <c r="D24"/>
  <c r="D23"/>
  <c r="D22"/>
  <c r="D21"/>
  <c r="D20"/>
  <c r="D19"/>
  <c r="D18"/>
  <c r="D17"/>
  <c r="D16"/>
  <c r="D15"/>
</calcChain>
</file>

<file path=xl/sharedStrings.xml><?xml version="1.0" encoding="utf-8"?>
<sst xmlns="http://schemas.openxmlformats.org/spreadsheetml/2006/main" count="229" uniqueCount="76">
  <si>
    <t>Техническая часть</t>
  </si>
  <si>
    <t>максимум</t>
  </si>
  <si>
    <t>Творческая часть</t>
  </si>
  <si>
    <t>Объём программного кода</t>
  </si>
  <si>
    <t>Оригинальная идея</t>
  </si>
  <si>
    <t>Чистота кода</t>
  </si>
  <si>
    <t>Соблюдение сроков</t>
  </si>
  <si>
    <t>Качество проектирования</t>
  </si>
  <si>
    <t>Защита</t>
  </si>
  <si>
    <t>Применённые технологии</t>
  </si>
  <si>
    <r>
      <rPr>
        <sz val="10"/>
        <color rgb="FF000000"/>
        <rFont val="Arial"/>
        <family val="2"/>
        <charset val="204"/>
      </rPr>
      <t xml:space="preserve">Премия </t>
    </r>
    <r>
      <rPr>
        <i/>
        <sz val="10"/>
        <color rgb="FF000000"/>
        <rFont val="Arial"/>
        <family val="2"/>
        <charset val="204"/>
      </rPr>
      <t>(Обязателен комментарий)</t>
    </r>
  </si>
  <si>
    <t>№</t>
  </si>
  <si>
    <t>Фамилия, имя</t>
  </si>
  <si>
    <t>Ссылка на проект</t>
  </si>
  <si>
    <t>ИТОГО</t>
  </si>
  <si>
    <t>Соблюдение сроков работы над проектом</t>
  </si>
  <si>
    <t>Работоспособность</t>
  </si>
  <si>
    <t>Поздняя сдача проекта</t>
  </si>
  <si>
    <t>Описание проекта</t>
  </si>
  <si>
    <t>Задание (ТЗ)</t>
  </si>
  <si>
    <t>ТЗ+ Часть задания выполнена</t>
  </si>
  <si>
    <t>Код+ Работающая часть проекта</t>
  </si>
  <si>
    <t>Код+ Работающая часть+ Черновик пояснительной записки и презентации</t>
  </si>
  <si>
    <t>Код+ Пояснительная записка+ Презентация+ Почти Все работает</t>
  </si>
  <si>
    <t>Все готово</t>
  </si>
  <si>
    <t>Качество кода</t>
  </si>
  <si>
    <t>Технологии</t>
  </si>
  <si>
    <t>Премия</t>
  </si>
  <si>
    <t>Плагиат</t>
  </si>
  <si>
    <t>Ссылка на плагиат</t>
  </si>
  <si>
    <t>Дата</t>
  </si>
  <si>
    <t>Объём кода (500 и выше - 1)</t>
  </si>
  <si>
    <t>requirements.txt</t>
  </si>
  <si>
    <t>Несколько форм</t>
  </si>
  <si>
    <t>Изученные виджеты</t>
  </si>
  <si>
    <t>Другие виджеты</t>
  </si>
  <si>
    <t>Стандартные диалоги</t>
  </si>
  <si>
    <t>Картинки</t>
  </si>
  <si>
    <t>Файлы txt или csv</t>
  </si>
  <si>
    <t>Несколько таблиц в БД</t>
  </si>
  <si>
    <t>Чтение из БД</t>
  </si>
  <si>
    <t>Запись в БД</t>
  </si>
  <si>
    <t>Изменение данных в БД</t>
  </si>
  <si>
    <t>exe</t>
  </si>
  <si>
    <t>Иванов Иван</t>
  </si>
  <si>
    <t>Петров Пётр</t>
  </si>
  <si>
    <t>Создание команд. Описание проекта</t>
  </si>
  <si>
    <t>ТЗ+Часть задания выполнена</t>
  </si>
  <si>
    <t>Код+Работающая часть проекта</t>
  </si>
  <si>
    <t>Код+Работающая часть+Черновик пояснительной записки и презентации</t>
  </si>
  <si>
    <t>Код+Пояснительная записка+Презентация+ПочтиВсе работает</t>
  </si>
  <si>
    <t>Стартовое окно</t>
  </si>
  <si>
    <t>Финальное окно</t>
  </si>
  <si>
    <t>Спрайты</t>
  </si>
  <si>
    <t>collide</t>
  </si>
  <si>
    <t>Анимация</t>
  </si>
  <si>
    <t>Несколько уровней</t>
  </si>
  <si>
    <t>Хранение данных (txt, csv или БД)</t>
  </si>
  <si>
    <t>Технологии сайт</t>
  </si>
  <si>
    <t>bootstrap</t>
  </si>
  <si>
    <t>шаблоны</t>
  </si>
  <si>
    <t>ORM-модели</t>
  </si>
  <si>
    <t>регистрация и авторизация</t>
  </si>
  <si>
    <t>загрузка и использование файлов</t>
  </si>
  <si>
    <t>API: REST или использование стороннего</t>
  </si>
  <si>
    <t>Хостинг
(heroku)</t>
  </si>
  <si>
    <t>работа с контекстом пользователя</t>
  </si>
  <si>
    <t>загрузка и использование файлов навыком: картинки, музыка</t>
  </si>
  <si>
    <t>использование стороннего API</t>
  </si>
  <si>
    <t>Подсчет и вывод результатов</t>
  </si>
  <si>
    <t>Физический движок</t>
  </si>
  <si>
    <t>Камера</t>
  </si>
  <si>
    <t>Система частиц</t>
  </si>
  <si>
    <t>Звук</t>
  </si>
  <si>
    <t>Коэффициент участия</t>
  </si>
  <si>
    <t>Хостинг</t>
  </si>
</sst>
</file>

<file path=xl/styles.xml><?xml version="1.0" encoding="utf-8"?>
<styleSheet xmlns="http://schemas.openxmlformats.org/spreadsheetml/2006/main">
  <numFmts count="1">
    <numFmt numFmtId="164" formatCode="0.0"/>
  </numFmts>
  <fonts count="9">
    <font>
      <sz val="10"/>
      <color rgb="FF000000"/>
      <name val="Arial"/>
      <charset val="1"/>
    </font>
    <font>
      <b/>
      <sz val="10"/>
      <color rgb="FF00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i/>
      <sz val="10"/>
      <color rgb="FF000000"/>
      <name val="Arial"/>
      <family val="2"/>
      <charset val="204"/>
    </font>
    <font>
      <i/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/>
      <right/>
      <top style="thick">
        <color auto="1"/>
      </top>
      <bottom style="double">
        <color auto="1"/>
      </bottom>
      <diagonal/>
    </border>
    <border>
      <left/>
      <right style="double">
        <color auto="1"/>
      </right>
      <top style="thick">
        <color auto="1"/>
      </top>
      <bottom style="double">
        <color auto="1"/>
      </bottom>
      <diagonal/>
    </border>
    <border>
      <left/>
      <right style="thick">
        <color auto="1"/>
      </right>
      <top style="thick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ck">
        <color auto="1"/>
      </right>
      <top/>
      <bottom style="double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 style="thick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2" fillId="0" borderId="2" xfId="0" applyFont="1" applyBorder="1" applyAlignment="1">
      <alignment horizontal="center"/>
    </xf>
    <xf numFmtId="0" fontId="0" fillId="2" borderId="4" xfId="0" applyFill="1" applyBorder="1"/>
    <xf numFmtId="0" fontId="3" fillId="0" borderId="5" xfId="0" applyFont="1" applyBorder="1" applyAlignment="1">
      <alignment horizontal="center"/>
    </xf>
    <xf numFmtId="0" fontId="0" fillId="0" borderId="4" xfId="0" applyBorder="1"/>
    <xf numFmtId="0" fontId="0" fillId="2" borderId="7" xfId="0" applyFill="1" applyBorder="1"/>
    <xf numFmtId="0" fontId="3" fillId="0" borderId="8" xfId="0" applyFont="1" applyBorder="1" applyAlignment="1">
      <alignment horizontal="center"/>
    </xf>
    <xf numFmtId="0" fontId="1" fillId="0" borderId="15" xfId="0" applyFont="1" applyBorder="1" applyAlignment="1">
      <alignment horizontal="center" vertical="center" wrapText="1"/>
    </xf>
    <xf numFmtId="0" fontId="1" fillId="0" borderId="0" xfId="0" applyFont="1"/>
    <xf numFmtId="0" fontId="1" fillId="0" borderId="16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4" fillId="0" borderId="15" xfId="0" applyFont="1" applyBorder="1" applyAlignment="1" applyProtection="1">
      <alignment horizontal="center" vertical="center"/>
      <protection locked="0"/>
    </xf>
    <xf numFmtId="0" fontId="4" fillId="0" borderId="16" xfId="0" applyFont="1" applyBorder="1" applyAlignment="1" applyProtection="1">
      <alignment horizontal="center" vertical="center"/>
      <protection locked="0"/>
    </xf>
    <xf numFmtId="0" fontId="4" fillId="0" borderId="17" xfId="0" applyFont="1" applyBorder="1" applyAlignment="1" applyProtection="1">
      <alignment horizontal="center" vertical="center"/>
      <protection locked="0"/>
    </xf>
    <xf numFmtId="0" fontId="5" fillId="0" borderId="15" xfId="0" applyFont="1" applyBorder="1" applyAlignment="1" applyProtection="1">
      <alignment horizontal="center" vertical="center"/>
      <protection locked="0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Protection="1">
      <protection locked="0"/>
    </xf>
    <xf numFmtId="0" fontId="0" fillId="0" borderId="22" xfId="0" applyBorder="1" applyProtection="1">
      <protection locked="0"/>
    </xf>
    <xf numFmtId="164" fontId="0" fillId="0" borderId="22" xfId="0" applyNumberFormat="1" applyBorder="1" applyAlignment="1">
      <alignment horizontal="center" vertical="center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22" xfId="0" applyFont="1" applyBorder="1" applyAlignment="1" applyProtection="1">
      <alignment horizont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>
      <alignment horizontal="center" vertical="center"/>
    </xf>
    <xf numFmtId="0" fontId="3" fillId="0" borderId="24" xfId="0" applyFont="1" applyBorder="1" applyProtection="1">
      <protection locked="0"/>
    </xf>
    <xf numFmtId="0" fontId="0" fillId="0" borderId="24" xfId="0" applyBorder="1" applyProtection="1"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0" fillId="0" borderId="24" xfId="0" applyBorder="1" applyAlignment="1" applyProtection="1">
      <alignment horizontal="center" vertical="center"/>
      <protection locked="0"/>
    </xf>
    <xf numFmtId="0" fontId="0" fillId="0" borderId="24" xfId="0" applyBorder="1" applyAlignment="1" applyProtection="1">
      <alignment horizontal="center"/>
      <protection locked="0"/>
    </xf>
    <xf numFmtId="0" fontId="6" fillId="0" borderId="24" xfId="0" applyFont="1" applyBorder="1" applyAlignment="1" applyProtection="1">
      <alignment horizontal="center" vertical="center"/>
      <protection locked="0"/>
    </xf>
    <xf numFmtId="0" fontId="3" fillId="0" borderId="25" xfId="0" applyFont="1" applyBorder="1" applyAlignment="1">
      <alignment horizontal="center"/>
    </xf>
    <xf numFmtId="0" fontId="3" fillId="0" borderId="25" xfId="0" applyFont="1" applyBorder="1" applyProtection="1">
      <protection locked="0"/>
    </xf>
    <xf numFmtId="164" fontId="3" fillId="0" borderId="25" xfId="0" applyNumberFormat="1" applyFont="1" applyBorder="1" applyAlignment="1" applyProtection="1">
      <alignment horizontal="center" vertical="center"/>
      <protection locked="0"/>
    </xf>
    <xf numFmtId="0" fontId="3" fillId="0" borderId="25" xfId="0" applyFont="1" applyBorder="1" applyAlignment="1" applyProtection="1">
      <alignment horizontal="center" vertical="center"/>
      <protection locked="0"/>
    </xf>
    <xf numFmtId="0" fontId="3" fillId="0" borderId="25" xfId="0" applyFont="1" applyBorder="1" applyAlignment="1" applyProtection="1">
      <alignment horizont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1" fillId="0" borderId="26" xfId="0" applyFont="1" applyBorder="1"/>
    <xf numFmtId="0" fontId="2" fillId="0" borderId="27" xfId="0" applyFont="1" applyBorder="1" applyAlignment="1">
      <alignment horizontal="center"/>
    </xf>
    <xf numFmtId="0" fontId="0" fillId="2" borderId="28" xfId="0" applyFill="1" applyBorder="1"/>
    <xf numFmtId="0" fontId="3" fillId="0" borderId="29" xfId="0" applyFont="1" applyBorder="1" applyAlignment="1">
      <alignment horizontal="center"/>
    </xf>
    <xf numFmtId="0" fontId="0" fillId="0" borderId="28" xfId="0" applyBorder="1"/>
    <xf numFmtId="0" fontId="0" fillId="2" borderId="30" xfId="0" applyFill="1" applyBorder="1"/>
    <xf numFmtId="0" fontId="3" fillId="0" borderId="31" xfId="0" applyFont="1" applyBorder="1" applyAlignment="1">
      <alignment horizontal="center"/>
    </xf>
    <xf numFmtId="0" fontId="3" fillId="0" borderId="0" xfId="0" applyFont="1"/>
    <xf numFmtId="0" fontId="3" fillId="0" borderId="21" xfId="0" applyFont="1" applyBorder="1" applyAlignment="1">
      <alignment horizontal="center"/>
    </xf>
    <xf numFmtId="164" fontId="0" fillId="0" borderId="22" xfId="0" applyNumberFormat="1" applyBorder="1" applyAlignment="1">
      <alignment horizontal="center"/>
    </xf>
    <xf numFmtId="0" fontId="3" fillId="0" borderId="23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9" xfId="0" applyFont="1" applyBorder="1" applyAlignment="1">
      <alignment horizontal="center"/>
    </xf>
    <xf numFmtId="0" fontId="3" fillId="0" borderId="8" xfId="0" applyFont="1" applyBorder="1" applyAlignment="1" applyProtection="1">
      <alignment horizontal="center"/>
      <protection locked="0"/>
    </xf>
    <xf numFmtId="0" fontId="1" fillId="0" borderId="2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24" xfId="0" applyFont="1" applyBorder="1" applyAlignment="1" applyProtection="1">
      <alignment horizontal="center" wrapText="1"/>
      <protection locked="0"/>
    </xf>
    <xf numFmtId="0" fontId="0" fillId="2" borderId="0" xfId="0" applyFill="1" applyAlignment="1">
      <alignment horizontal="left"/>
    </xf>
    <xf numFmtId="0" fontId="1" fillId="0" borderId="1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3" xfId="0" applyFont="1" applyBorder="1"/>
    <xf numFmtId="0" fontId="0" fillId="0" borderId="6" xfId="0" applyBorder="1"/>
    <xf numFmtId="0" fontId="0" fillId="0" borderId="9" xfId="0" applyBorder="1"/>
    <xf numFmtId="0" fontId="1" fillId="0" borderId="14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0" borderId="11" xfId="0" applyFont="1" applyBorder="1" applyAlignment="1">
      <alignment vertical="center" wrapText="1"/>
    </xf>
    <xf numFmtId="14" fontId="4" fillId="0" borderId="16" xfId="0" applyNumberFormat="1" applyFont="1" applyBorder="1" applyAlignment="1" applyProtection="1">
      <alignment horizontal="center" vertical="center"/>
      <protection locked="0"/>
    </xf>
    <xf numFmtId="14" fontId="4" fillId="0" borderId="17" xfId="0" applyNumberFormat="1" applyFont="1" applyBorder="1" applyAlignment="1" applyProtection="1">
      <alignment horizontal="center" vertical="center"/>
      <protection locked="0"/>
    </xf>
    <xf numFmtId="14" fontId="4" fillId="0" borderId="15" xfId="0" applyNumberFormat="1" applyFont="1" applyBorder="1" applyAlignment="1" applyProtection="1">
      <alignment horizontal="center" vertical="center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4:AJ31"/>
  <sheetViews>
    <sheetView topLeftCell="D1" workbookViewId="0">
      <selection activeCell="Z15" sqref="Z15"/>
    </sheetView>
  </sheetViews>
  <sheetFormatPr defaultColWidth="14.44140625" defaultRowHeight="13.2"/>
  <cols>
    <col min="1" max="1" width="5.44140625" customWidth="1"/>
    <col min="2" max="2" width="29.33203125" customWidth="1"/>
    <col min="3" max="3" width="42.77734375" customWidth="1"/>
    <col min="4" max="4" width="10.44140625" style="1" customWidth="1"/>
    <col min="5" max="5" width="11" customWidth="1"/>
    <col min="6" max="7" width="10.44140625" customWidth="1"/>
    <col min="8" max="8" width="11" customWidth="1"/>
    <col min="9" max="9" width="17.6640625" customWidth="1"/>
    <col min="11" max="11" width="10.44140625" style="1" customWidth="1"/>
    <col min="12" max="12" width="12" customWidth="1"/>
    <col min="13" max="13" width="9.33203125" customWidth="1"/>
    <col min="14" max="14" width="10.33203125" customWidth="1"/>
    <col min="15" max="15" width="10" customWidth="1"/>
    <col min="16" max="16" width="11.44140625" customWidth="1"/>
    <col min="17" max="17" width="11.77734375" customWidth="1"/>
    <col min="18" max="18" width="10.33203125" customWidth="1"/>
    <col min="19" max="19" width="9.6640625" customWidth="1"/>
    <col min="20" max="20" width="10.109375" customWidth="1"/>
    <col min="21" max="21" width="11.109375" customWidth="1"/>
    <col min="22" max="22" width="12" customWidth="1"/>
    <col min="23" max="23" width="8.33203125" customWidth="1"/>
    <col min="24" max="24" width="8.77734375" customWidth="1"/>
    <col min="25" max="25" width="11.77734375" customWidth="1"/>
    <col min="26" max="26" width="5.44140625" customWidth="1"/>
    <col min="27" max="27" width="8.109375" customWidth="1"/>
    <col min="28" max="28" width="8.77734375" customWidth="1"/>
    <col min="29" max="30" width="9.109375" customWidth="1"/>
    <col min="31" max="31" width="8.77734375" customWidth="1"/>
    <col min="32" max="32" width="54.109375" customWidth="1"/>
    <col min="33" max="33" width="20.77734375" customWidth="1"/>
  </cols>
  <sheetData>
    <row r="4" spans="1:36">
      <c r="C4" s="2" t="s">
        <v>0</v>
      </c>
      <c r="D4" s="3" t="s">
        <v>1</v>
      </c>
      <c r="H4" s="78" t="s">
        <v>2</v>
      </c>
      <c r="I4" s="78"/>
      <c r="J4" s="78"/>
      <c r="K4" s="3" t="s">
        <v>1</v>
      </c>
    </row>
    <row r="5" spans="1:36">
      <c r="C5" s="4" t="s">
        <v>3</v>
      </c>
      <c r="D5" s="5">
        <v>15</v>
      </c>
      <c r="H5" s="79" t="s">
        <v>4</v>
      </c>
      <c r="I5" s="79"/>
      <c r="J5" s="79"/>
      <c r="K5" s="5">
        <v>10</v>
      </c>
    </row>
    <row r="6" spans="1:36">
      <c r="C6" s="4" t="s">
        <v>5</v>
      </c>
      <c r="D6" s="5">
        <v>5</v>
      </c>
      <c r="H6" s="79" t="s">
        <v>6</v>
      </c>
      <c r="I6" s="79"/>
      <c r="J6" s="79"/>
      <c r="K6" s="5">
        <v>15</v>
      </c>
    </row>
    <row r="7" spans="1:36">
      <c r="C7" s="6" t="s">
        <v>7</v>
      </c>
      <c r="D7" s="5">
        <v>20</v>
      </c>
      <c r="H7" s="79" t="s">
        <v>8</v>
      </c>
      <c r="I7" s="79"/>
      <c r="J7" s="79"/>
      <c r="K7" s="5">
        <v>10</v>
      </c>
    </row>
    <row r="8" spans="1:36">
      <c r="C8" s="7" t="s">
        <v>9</v>
      </c>
      <c r="D8" s="8">
        <v>20</v>
      </c>
      <c r="H8" s="80" t="s">
        <v>10</v>
      </c>
      <c r="I8" s="80"/>
      <c r="J8" s="80"/>
      <c r="K8" s="8">
        <v>5</v>
      </c>
    </row>
    <row r="12" spans="1:36" ht="12.75" customHeight="1">
      <c r="A12" s="73" t="s">
        <v>11</v>
      </c>
      <c r="B12" s="74" t="s">
        <v>12</v>
      </c>
      <c r="C12" s="75" t="s">
        <v>13</v>
      </c>
      <c r="D12" s="76" t="s">
        <v>14</v>
      </c>
      <c r="E12" s="77" t="s">
        <v>15</v>
      </c>
      <c r="F12" s="77"/>
      <c r="G12" s="77"/>
      <c r="H12" s="77"/>
      <c r="I12" s="77"/>
      <c r="J12" s="77"/>
      <c r="K12" s="77"/>
      <c r="L12" s="66" t="s">
        <v>0</v>
      </c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7" t="s">
        <v>16</v>
      </c>
      <c r="AB12" s="68" t="s">
        <v>2</v>
      </c>
      <c r="AC12" s="68"/>
      <c r="AD12" s="68"/>
      <c r="AE12" s="68"/>
      <c r="AF12" s="68"/>
      <c r="AG12" s="69" t="s">
        <v>17</v>
      </c>
      <c r="AH12" s="10"/>
      <c r="AI12" s="10"/>
      <c r="AJ12" s="10"/>
    </row>
    <row r="13" spans="1:36" ht="79.8" customHeight="1">
      <c r="A13" s="73"/>
      <c r="B13" s="74"/>
      <c r="C13" s="74"/>
      <c r="D13" s="76"/>
      <c r="E13" s="9" t="s">
        <v>18</v>
      </c>
      <c r="F13" s="11" t="s">
        <v>19</v>
      </c>
      <c r="G13" s="12" t="s">
        <v>20</v>
      </c>
      <c r="H13" s="12" t="s">
        <v>21</v>
      </c>
      <c r="I13" s="12" t="s">
        <v>22</v>
      </c>
      <c r="J13" s="12" t="s">
        <v>23</v>
      </c>
      <c r="K13" s="13" t="s">
        <v>24</v>
      </c>
      <c r="L13" s="70" t="s">
        <v>25</v>
      </c>
      <c r="M13" s="70"/>
      <c r="N13" s="70"/>
      <c r="O13" s="70" t="s">
        <v>26</v>
      </c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67"/>
      <c r="AB13" s="69" t="s">
        <v>4</v>
      </c>
      <c r="AC13" s="14" t="s">
        <v>8</v>
      </c>
      <c r="AD13" s="71" t="s">
        <v>27</v>
      </c>
      <c r="AE13" s="71" t="s">
        <v>28</v>
      </c>
      <c r="AF13" s="72" t="s">
        <v>29</v>
      </c>
      <c r="AG13" s="69"/>
      <c r="AH13" s="10"/>
      <c r="AI13" s="10"/>
      <c r="AJ13" s="10"/>
    </row>
    <row r="14" spans="1:36" ht="39.6">
      <c r="A14" s="73"/>
      <c r="B14" s="74"/>
      <c r="C14" s="74"/>
      <c r="D14" s="76"/>
      <c r="E14" s="15" t="s">
        <v>30</v>
      </c>
      <c r="F14" s="16" t="s">
        <v>30</v>
      </c>
      <c r="G14" s="16" t="s">
        <v>30</v>
      </c>
      <c r="H14" s="16" t="s">
        <v>30</v>
      </c>
      <c r="I14" s="16" t="s">
        <v>30</v>
      </c>
      <c r="J14" s="16" t="s">
        <v>30</v>
      </c>
      <c r="K14" s="17" t="s">
        <v>30</v>
      </c>
      <c r="L14" s="11" t="s">
        <v>31</v>
      </c>
      <c r="M14" s="11" t="s">
        <v>5</v>
      </c>
      <c r="N14" s="11" t="s">
        <v>7</v>
      </c>
      <c r="O14" s="11" t="s">
        <v>32</v>
      </c>
      <c r="P14" s="11" t="s">
        <v>33</v>
      </c>
      <c r="Q14" s="11" t="s">
        <v>34</v>
      </c>
      <c r="R14" s="11" t="s">
        <v>35</v>
      </c>
      <c r="S14" s="11" t="s">
        <v>36</v>
      </c>
      <c r="T14" s="11" t="s">
        <v>37</v>
      </c>
      <c r="U14" s="11" t="s">
        <v>38</v>
      </c>
      <c r="V14" s="11" t="s">
        <v>39</v>
      </c>
      <c r="W14" s="11" t="s">
        <v>40</v>
      </c>
      <c r="X14" s="11" t="s">
        <v>41</v>
      </c>
      <c r="Y14" s="11" t="s">
        <v>42</v>
      </c>
      <c r="Z14" s="11" t="s">
        <v>43</v>
      </c>
      <c r="AA14" s="67"/>
      <c r="AB14" s="67"/>
      <c r="AC14" s="18" t="s">
        <v>30</v>
      </c>
      <c r="AD14" s="71"/>
      <c r="AE14" s="71"/>
      <c r="AF14" s="72"/>
      <c r="AG14" s="69"/>
      <c r="AH14" s="10"/>
      <c r="AI14" s="10"/>
      <c r="AJ14" s="10"/>
    </row>
    <row r="15" spans="1:36">
      <c r="A15" s="19">
        <v>1</v>
      </c>
      <c r="B15" s="20" t="s">
        <v>44</v>
      </c>
      <c r="C15" s="21"/>
      <c r="D15" s="22">
        <f t="shared" ref="D15:D31" si="0">($K$6*SUM(E15:K15)/7+($D$5*L15+$D$6*M15+$D$7*N15+$D$8*SUM(O15:Z15)*AA15/12)+$K$5*AB15+$K$7*AC15+$K$8*AD15)*(1-AE15)*(1-AG15)</f>
        <v>100</v>
      </c>
      <c r="E15" s="23">
        <v>1</v>
      </c>
      <c r="F15" s="23">
        <v>1</v>
      </c>
      <c r="G15" s="23">
        <v>1</v>
      </c>
      <c r="H15" s="23">
        <v>1</v>
      </c>
      <c r="I15" s="23">
        <v>1</v>
      </c>
      <c r="J15" s="23">
        <v>1</v>
      </c>
      <c r="K15" s="23">
        <v>1</v>
      </c>
      <c r="L15" s="23">
        <v>1</v>
      </c>
      <c r="M15" s="23">
        <v>1</v>
      </c>
      <c r="N15" s="23">
        <v>1</v>
      </c>
      <c r="O15" s="24">
        <v>1</v>
      </c>
      <c r="P15" s="23">
        <v>1</v>
      </c>
      <c r="Q15" s="23">
        <v>1</v>
      </c>
      <c r="R15" s="23">
        <v>1</v>
      </c>
      <c r="S15" s="23">
        <v>1</v>
      </c>
      <c r="T15" s="23">
        <v>1</v>
      </c>
      <c r="U15" s="23">
        <v>1</v>
      </c>
      <c r="V15" s="23">
        <v>1</v>
      </c>
      <c r="W15" s="23">
        <v>1</v>
      </c>
      <c r="X15" s="23">
        <v>1</v>
      </c>
      <c r="Y15" s="23">
        <v>1</v>
      </c>
      <c r="Z15" s="23">
        <v>1</v>
      </c>
      <c r="AA15" s="23">
        <v>1</v>
      </c>
      <c r="AB15" s="23">
        <v>1</v>
      </c>
      <c r="AC15" s="23">
        <v>1</v>
      </c>
      <c r="AD15" s="23">
        <v>1</v>
      </c>
      <c r="AE15" s="23">
        <v>0</v>
      </c>
      <c r="AF15" s="25"/>
      <c r="AG15" s="25"/>
    </row>
    <row r="16" spans="1:36">
      <c r="A16" s="26">
        <v>2</v>
      </c>
      <c r="B16" s="27" t="s">
        <v>45</v>
      </c>
      <c r="C16" s="28"/>
      <c r="D16" s="22">
        <f t="shared" si="0"/>
        <v>0</v>
      </c>
      <c r="E16" s="29">
        <v>0</v>
      </c>
      <c r="F16" s="29">
        <v>1</v>
      </c>
      <c r="G16" s="29">
        <v>0.5</v>
      </c>
      <c r="H16" s="29">
        <v>0.5</v>
      </c>
      <c r="I16" s="29">
        <v>1</v>
      </c>
      <c r="J16" s="29">
        <v>1</v>
      </c>
      <c r="K16" s="29">
        <v>1</v>
      </c>
      <c r="L16" s="29">
        <v>0.6</v>
      </c>
      <c r="M16" s="29">
        <v>0.8</v>
      </c>
      <c r="N16" s="29">
        <v>0.6</v>
      </c>
      <c r="O16" s="30">
        <v>1</v>
      </c>
      <c r="P16" s="29">
        <v>1</v>
      </c>
      <c r="Q16" s="29">
        <v>1</v>
      </c>
      <c r="R16" s="29">
        <v>0</v>
      </c>
      <c r="S16" s="29">
        <v>0</v>
      </c>
      <c r="T16" s="29">
        <v>1</v>
      </c>
      <c r="U16" s="29">
        <v>0</v>
      </c>
      <c r="V16" s="29">
        <v>1</v>
      </c>
      <c r="W16" s="29">
        <v>1</v>
      </c>
      <c r="X16" s="29">
        <v>1</v>
      </c>
      <c r="Y16" s="29">
        <v>0</v>
      </c>
      <c r="Z16" s="29">
        <v>0</v>
      </c>
      <c r="AA16" s="29">
        <v>0.75</v>
      </c>
      <c r="AB16" s="29">
        <v>0.6</v>
      </c>
      <c r="AC16" s="29">
        <v>1</v>
      </c>
      <c r="AD16" s="29">
        <v>0</v>
      </c>
      <c r="AE16" s="29">
        <v>1</v>
      </c>
      <c r="AF16" s="31"/>
      <c r="AG16" s="31"/>
    </row>
    <row r="17" spans="1:33">
      <c r="A17" s="26">
        <v>3</v>
      </c>
      <c r="B17" s="28"/>
      <c r="C17" s="28"/>
      <c r="D17" s="22">
        <f t="shared" si="0"/>
        <v>0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3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1"/>
      <c r="AG17" s="31"/>
    </row>
    <row r="18" spans="1:33">
      <c r="A18" s="26">
        <v>4</v>
      </c>
      <c r="B18" s="28"/>
      <c r="C18" s="28"/>
      <c r="D18" s="22">
        <f t="shared" si="0"/>
        <v>0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3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1"/>
      <c r="AG18" s="31"/>
    </row>
    <row r="19" spans="1:33">
      <c r="A19" s="26">
        <v>5</v>
      </c>
      <c r="B19" s="28"/>
      <c r="C19" s="28"/>
      <c r="D19" s="22">
        <f t="shared" si="0"/>
        <v>0</v>
      </c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1"/>
      <c r="AG19" s="31"/>
    </row>
    <row r="20" spans="1:33">
      <c r="A20" s="26">
        <v>6</v>
      </c>
      <c r="B20" s="28"/>
      <c r="C20" s="28"/>
      <c r="D20" s="22">
        <f t="shared" si="0"/>
        <v>0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3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1"/>
      <c r="AG20" s="31"/>
    </row>
    <row r="21" spans="1:33">
      <c r="A21" s="26">
        <v>7</v>
      </c>
      <c r="B21" s="28"/>
      <c r="C21" s="28"/>
      <c r="D21" s="22">
        <f t="shared" si="0"/>
        <v>0</v>
      </c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3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1"/>
      <c r="AG21" s="31"/>
    </row>
    <row r="22" spans="1:33">
      <c r="A22" s="26">
        <v>8</v>
      </c>
      <c r="B22" s="28"/>
      <c r="C22" s="28"/>
      <c r="D22" s="22">
        <f t="shared" si="0"/>
        <v>0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3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1"/>
      <c r="AG22" s="31"/>
    </row>
    <row r="23" spans="1:33">
      <c r="A23" s="26">
        <v>9</v>
      </c>
      <c r="B23" s="28"/>
      <c r="C23" s="28"/>
      <c r="D23" s="22">
        <f t="shared" si="0"/>
        <v>0</v>
      </c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3"/>
      <c r="P23" s="34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1"/>
      <c r="AG23" s="31"/>
    </row>
    <row r="24" spans="1:33">
      <c r="A24" s="26">
        <v>10</v>
      </c>
      <c r="B24" s="28"/>
      <c r="C24" s="28"/>
      <c r="D24" s="22">
        <f t="shared" si="0"/>
        <v>0</v>
      </c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1"/>
      <c r="AG24" s="31"/>
    </row>
    <row r="25" spans="1:33">
      <c r="A25" s="26">
        <v>11</v>
      </c>
      <c r="B25" s="28"/>
      <c r="C25" s="28"/>
      <c r="D25" s="22">
        <f t="shared" si="0"/>
        <v>0</v>
      </c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3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1"/>
      <c r="AG25" s="31"/>
    </row>
    <row r="26" spans="1:33">
      <c r="A26" s="26">
        <v>12</v>
      </c>
      <c r="B26" s="28"/>
      <c r="C26" s="28"/>
      <c r="D26" s="22">
        <f t="shared" si="0"/>
        <v>0</v>
      </c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3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1"/>
      <c r="AG26" s="31"/>
    </row>
    <row r="27" spans="1:33">
      <c r="A27" s="26">
        <v>13</v>
      </c>
      <c r="B27" s="28"/>
      <c r="C27" s="28"/>
      <c r="D27" s="22">
        <f t="shared" si="0"/>
        <v>0</v>
      </c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3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1"/>
      <c r="AG27" s="31"/>
    </row>
    <row r="28" spans="1:33">
      <c r="A28" s="26">
        <v>14</v>
      </c>
      <c r="B28" s="28"/>
      <c r="C28" s="28"/>
      <c r="D28" s="22">
        <f t="shared" si="0"/>
        <v>0</v>
      </c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3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1"/>
      <c r="AG28" s="31"/>
    </row>
    <row r="29" spans="1:33">
      <c r="A29" s="26">
        <v>15</v>
      </c>
      <c r="B29" s="28"/>
      <c r="C29" s="28"/>
      <c r="D29" s="22">
        <f t="shared" si="0"/>
        <v>0</v>
      </c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3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1"/>
      <c r="AG29" s="31"/>
    </row>
    <row r="30" spans="1:33">
      <c r="A30" s="26">
        <v>16</v>
      </c>
      <c r="B30" s="28"/>
      <c r="C30" s="28"/>
      <c r="D30" s="22">
        <f t="shared" si="0"/>
        <v>0</v>
      </c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3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1"/>
      <c r="AG30" s="31"/>
    </row>
    <row r="31" spans="1:33">
      <c r="A31" s="35">
        <v>17</v>
      </c>
      <c r="B31" s="36"/>
      <c r="C31" s="36"/>
      <c r="D31" s="37">
        <f t="shared" si="0"/>
        <v>0</v>
      </c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9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40"/>
      <c r="AG31" s="40"/>
    </row>
  </sheetData>
  <mergeCells count="20">
    <mergeCell ref="H4:J4"/>
    <mergeCell ref="H5:J5"/>
    <mergeCell ref="H6:J6"/>
    <mergeCell ref="H7:J7"/>
    <mergeCell ref="H8:J8"/>
    <mergeCell ref="A12:A14"/>
    <mergeCell ref="B12:B14"/>
    <mergeCell ref="C12:C14"/>
    <mergeCell ref="D12:D14"/>
    <mergeCell ref="E12:K12"/>
    <mergeCell ref="L12:Z12"/>
    <mergeCell ref="AA12:AA14"/>
    <mergeCell ref="AB12:AF12"/>
    <mergeCell ref="AG12:AG14"/>
    <mergeCell ref="L13:N13"/>
    <mergeCell ref="O13:Z13"/>
    <mergeCell ref="AB13:AB14"/>
    <mergeCell ref="AD13:AD14"/>
    <mergeCell ref="AE13:AE14"/>
    <mergeCell ref="AF13:AF14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4:AK36"/>
  <sheetViews>
    <sheetView tabSelected="1" workbookViewId="0">
      <pane xSplit="2" topLeftCell="C1" activePane="topRight" state="frozen"/>
      <selection pane="topRight" activeCell="E18" sqref="E18"/>
    </sheetView>
  </sheetViews>
  <sheetFormatPr defaultColWidth="14.44140625" defaultRowHeight="13.2"/>
  <cols>
    <col min="1" max="1" width="5.44140625" customWidth="1"/>
    <col min="2" max="2" width="29.33203125" customWidth="1"/>
    <col min="3" max="3" width="41" customWidth="1"/>
    <col min="4" max="4" width="10.44140625" style="1" customWidth="1"/>
    <col min="5" max="5" width="11" customWidth="1"/>
    <col min="6" max="7" width="10.44140625" customWidth="1"/>
    <col min="8" max="8" width="11" customWidth="1"/>
    <col min="9" max="9" width="17.6640625" customWidth="1"/>
    <col min="11" max="11" width="10.44140625" style="1" customWidth="1"/>
    <col min="12" max="12" width="12" customWidth="1"/>
    <col min="13" max="13" width="9.44140625" customWidth="1"/>
    <col min="14" max="15" width="10" customWidth="1"/>
    <col min="16" max="16" width="11.44140625" customWidth="1"/>
    <col min="17" max="17" width="12.44140625" customWidth="1"/>
    <col min="18" max="18" width="15.33203125" customWidth="1"/>
    <col min="19" max="19" width="10.109375" customWidth="1"/>
    <col min="20" max="20" width="7.77734375" customWidth="1"/>
    <col min="21" max="26" width="12" customWidth="1"/>
    <col min="28" max="28" width="13" customWidth="1"/>
    <col min="29" max="29" width="8.33203125" customWidth="1"/>
    <col min="30" max="31" width="10" customWidth="1"/>
  </cols>
  <sheetData>
    <row r="4" spans="1:37" ht="13.8" thickTop="1">
      <c r="C4" s="41" t="s">
        <v>0</v>
      </c>
      <c r="D4" s="42" t="s">
        <v>1</v>
      </c>
      <c r="H4" s="78" t="s">
        <v>2</v>
      </c>
      <c r="I4" s="78"/>
      <c r="J4" s="78"/>
      <c r="K4" s="3" t="s">
        <v>1</v>
      </c>
    </row>
    <row r="5" spans="1:37">
      <c r="C5" s="43" t="s">
        <v>3</v>
      </c>
      <c r="D5" s="44">
        <v>15</v>
      </c>
      <c r="H5" s="79" t="s">
        <v>4</v>
      </c>
      <c r="I5" s="79"/>
      <c r="J5" s="79"/>
      <c r="K5" s="5">
        <v>10</v>
      </c>
    </row>
    <row r="6" spans="1:37">
      <c r="C6" s="43" t="s">
        <v>5</v>
      </c>
      <c r="D6" s="44">
        <v>5</v>
      </c>
      <c r="H6" s="79" t="s">
        <v>6</v>
      </c>
      <c r="I6" s="79"/>
      <c r="J6" s="79"/>
      <c r="K6" s="5">
        <v>15</v>
      </c>
    </row>
    <row r="7" spans="1:37">
      <c r="C7" s="45" t="s">
        <v>7</v>
      </c>
      <c r="D7" s="44">
        <v>20</v>
      </c>
      <c r="H7" s="79" t="s">
        <v>8</v>
      </c>
      <c r="I7" s="79"/>
      <c r="J7" s="79"/>
      <c r="K7" s="5">
        <v>10</v>
      </c>
    </row>
    <row r="8" spans="1:37" ht="13.8" thickBot="1">
      <c r="C8" s="46" t="s">
        <v>9</v>
      </c>
      <c r="D8" s="47">
        <v>20</v>
      </c>
      <c r="G8" s="48"/>
      <c r="H8" s="80" t="s">
        <v>10</v>
      </c>
      <c r="I8" s="80"/>
      <c r="J8" s="80"/>
      <c r="K8" s="8">
        <v>5</v>
      </c>
    </row>
    <row r="11" spans="1:37" ht="13.8" thickBot="1"/>
    <row r="12" spans="1:37" ht="14.55" customHeight="1" thickTop="1" thickBot="1">
      <c r="A12" s="73" t="s">
        <v>11</v>
      </c>
      <c r="B12" s="74" t="s">
        <v>12</v>
      </c>
      <c r="C12" s="75" t="s">
        <v>13</v>
      </c>
      <c r="D12" s="76" t="s">
        <v>14</v>
      </c>
      <c r="E12" s="85" t="s">
        <v>15</v>
      </c>
      <c r="F12" s="85"/>
      <c r="G12" s="85"/>
      <c r="H12" s="85"/>
      <c r="I12" s="85"/>
      <c r="J12" s="85"/>
      <c r="K12" s="85"/>
      <c r="L12" s="76" t="s">
        <v>0</v>
      </c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82" t="s">
        <v>74</v>
      </c>
      <c r="AC12" s="67" t="s">
        <v>16</v>
      </c>
      <c r="AD12" s="81" t="s">
        <v>2</v>
      </c>
      <c r="AE12" s="81"/>
      <c r="AF12" s="81"/>
      <c r="AG12" s="81"/>
      <c r="AH12" s="81"/>
      <c r="AI12" s="69" t="s">
        <v>17</v>
      </c>
      <c r="AJ12" s="10"/>
      <c r="AK12" s="10"/>
    </row>
    <row r="13" spans="1:37" ht="70.8" customHeight="1" thickTop="1" thickBot="1">
      <c r="A13" s="73"/>
      <c r="B13" s="74"/>
      <c r="C13" s="74"/>
      <c r="D13" s="76"/>
      <c r="E13" s="9" t="s">
        <v>46</v>
      </c>
      <c r="F13" s="11" t="s">
        <v>19</v>
      </c>
      <c r="G13" s="11" t="s">
        <v>47</v>
      </c>
      <c r="H13" s="11" t="s">
        <v>48</v>
      </c>
      <c r="I13" s="11" t="s">
        <v>49</v>
      </c>
      <c r="J13" s="11" t="s">
        <v>50</v>
      </c>
      <c r="K13" s="13" t="s">
        <v>24</v>
      </c>
      <c r="L13" s="70" t="s">
        <v>25</v>
      </c>
      <c r="M13" s="70"/>
      <c r="N13" s="70"/>
      <c r="O13" s="70" t="s">
        <v>26</v>
      </c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83"/>
      <c r="AC13" s="67"/>
      <c r="AD13" s="69" t="s">
        <v>4</v>
      </c>
      <c r="AE13" s="14" t="s">
        <v>8</v>
      </c>
      <c r="AF13" s="71" t="s">
        <v>27</v>
      </c>
      <c r="AG13" s="71" t="s">
        <v>28</v>
      </c>
      <c r="AH13" s="72" t="s">
        <v>29</v>
      </c>
      <c r="AI13" s="69"/>
      <c r="AJ13" s="10"/>
      <c r="AK13" s="10"/>
    </row>
    <row r="14" spans="1:37" ht="46.2" customHeight="1" thickTop="1" thickBot="1">
      <c r="A14" s="73"/>
      <c r="B14" s="74"/>
      <c r="C14" s="74"/>
      <c r="D14" s="76"/>
      <c r="E14" s="90">
        <v>46018</v>
      </c>
      <c r="F14" s="88">
        <v>46036</v>
      </c>
      <c r="G14" s="88">
        <v>46039</v>
      </c>
      <c r="H14" s="88">
        <v>46043</v>
      </c>
      <c r="I14" s="88">
        <v>46046</v>
      </c>
      <c r="J14" s="88">
        <v>46050</v>
      </c>
      <c r="K14" s="89">
        <v>46053</v>
      </c>
      <c r="L14" s="11" t="s">
        <v>31</v>
      </c>
      <c r="M14" s="11" t="s">
        <v>5</v>
      </c>
      <c r="N14" s="11" t="s">
        <v>7</v>
      </c>
      <c r="O14" s="11" t="s">
        <v>32</v>
      </c>
      <c r="P14" s="11" t="s">
        <v>51</v>
      </c>
      <c r="Q14" s="11" t="s">
        <v>52</v>
      </c>
      <c r="R14" s="64" t="s">
        <v>69</v>
      </c>
      <c r="S14" s="11" t="s">
        <v>53</v>
      </c>
      <c r="T14" s="11" t="s">
        <v>54</v>
      </c>
      <c r="U14" s="11" t="s">
        <v>55</v>
      </c>
      <c r="V14" s="11" t="s">
        <v>56</v>
      </c>
      <c r="W14" s="65" t="s">
        <v>71</v>
      </c>
      <c r="X14" s="65" t="s">
        <v>72</v>
      </c>
      <c r="Y14" s="65" t="s">
        <v>73</v>
      </c>
      <c r="Z14" s="65" t="s">
        <v>70</v>
      </c>
      <c r="AA14" s="12" t="s">
        <v>57</v>
      </c>
      <c r="AB14" s="84"/>
      <c r="AC14" s="67"/>
      <c r="AD14" s="67"/>
      <c r="AE14" s="18" t="s">
        <v>30</v>
      </c>
      <c r="AF14" s="71"/>
      <c r="AG14" s="71"/>
      <c r="AH14" s="72"/>
      <c r="AI14" s="69"/>
      <c r="AJ14" s="10"/>
      <c r="AK14" s="10"/>
    </row>
    <row r="15" spans="1:37" ht="13.8" thickTop="1">
      <c r="A15" s="49">
        <v>1</v>
      </c>
      <c r="B15" s="20" t="s">
        <v>44</v>
      </c>
      <c r="C15" s="21"/>
      <c r="D15" s="50">
        <f>($K$6*SUM(E15:K15)/7+($D$5*L15+$D$6*M15+$D$7*N15+$D$8*SUM(O15:AA15)*AB15*AC15/13)+$K$5*AD15+$K$7*AE15+$K$8*AF15)*(1-AG15)*(1-AI15)</f>
        <v>100</v>
      </c>
      <c r="E15" s="24">
        <v>1</v>
      </c>
      <c r="F15" s="24">
        <v>1</v>
      </c>
      <c r="G15" s="24">
        <v>1</v>
      </c>
      <c r="H15" s="24">
        <v>1</v>
      </c>
      <c r="I15" s="24">
        <v>1</v>
      </c>
      <c r="J15" s="24">
        <v>1</v>
      </c>
      <c r="K15" s="24">
        <v>1</v>
      </c>
      <c r="L15" s="24">
        <v>1</v>
      </c>
      <c r="M15" s="24">
        <v>1</v>
      </c>
      <c r="N15" s="24">
        <v>1</v>
      </c>
      <c r="O15" s="24">
        <v>1</v>
      </c>
      <c r="P15" s="24">
        <v>1</v>
      </c>
      <c r="Q15" s="24">
        <v>1</v>
      </c>
      <c r="R15" s="24">
        <v>1</v>
      </c>
      <c r="S15" s="24">
        <v>1</v>
      </c>
      <c r="T15" s="24">
        <v>1</v>
      </c>
      <c r="U15" s="24">
        <v>1</v>
      </c>
      <c r="V15" s="24">
        <v>1</v>
      </c>
      <c r="W15" s="24">
        <v>1</v>
      </c>
      <c r="X15" s="24">
        <v>1</v>
      </c>
      <c r="Y15" s="24">
        <v>1</v>
      </c>
      <c r="Z15" s="24">
        <v>1</v>
      </c>
      <c r="AA15" s="24">
        <v>1</v>
      </c>
      <c r="AB15" s="24">
        <v>1</v>
      </c>
      <c r="AC15" s="24">
        <v>1</v>
      </c>
      <c r="AD15" s="24">
        <v>1</v>
      </c>
      <c r="AE15" s="24">
        <v>1</v>
      </c>
      <c r="AF15" s="24">
        <v>1</v>
      </c>
      <c r="AG15" s="24">
        <v>0</v>
      </c>
      <c r="AH15" s="51"/>
      <c r="AI15" s="25"/>
    </row>
    <row r="16" spans="1:37">
      <c r="A16" s="52">
        <v>2</v>
      </c>
      <c r="B16" s="27" t="s">
        <v>45</v>
      </c>
      <c r="C16" s="28"/>
      <c r="D16" s="50">
        <f t="shared" ref="D16:D31" si="0">($K$6*SUM(E16:K16)/7+($D$5*L16+$D$6*M16+$D$7*N16+$D$8*SUM(O16:AA16)*AB16*AC16/13)+$K$5*AD16+$K$7*AE16+$K$8*AF16)*(1-AG16)*(1-AI16)</f>
        <v>0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0.8</v>
      </c>
      <c r="L16" s="30">
        <v>1</v>
      </c>
      <c r="M16" s="30">
        <v>1</v>
      </c>
      <c r="N16" s="30">
        <v>0.7</v>
      </c>
      <c r="O16" s="30">
        <v>1</v>
      </c>
      <c r="P16" s="30">
        <v>1</v>
      </c>
      <c r="Q16" s="30">
        <v>1</v>
      </c>
      <c r="R16" s="30">
        <v>0.5</v>
      </c>
      <c r="S16" s="30">
        <v>1</v>
      </c>
      <c r="T16" s="30">
        <v>1</v>
      </c>
      <c r="U16" s="30">
        <v>1</v>
      </c>
      <c r="V16" s="30">
        <v>0</v>
      </c>
      <c r="W16" s="30">
        <v>1</v>
      </c>
      <c r="X16" s="30">
        <v>1</v>
      </c>
      <c r="Y16" s="30">
        <v>1</v>
      </c>
      <c r="Z16" s="30">
        <v>1</v>
      </c>
      <c r="AA16" s="30">
        <v>1</v>
      </c>
      <c r="AB16" s="30">
        <v>1</v>
      </c>
      <c r="AC16" s="30">
        <v>0.8</v>
      </c>
      <c r="AD16" s="30">
        <v>0.6</v>
      </c>
      <c r="AE16" s="30">
        <v>1</v>
      </c>
      <c r="AF16" s="30">
        <v>0</v>
      </c>
      <c r="AG16" s="30">
        <v>1</v>
      </c>
      <c r="AH16" s="53"/>
      <c r="AI16" s="31"/>
    </row>
    <row r="17" spans="1:35">
      <c r="A17" s="52">
        <v>3</v>
      </c>
      <c r="B17" s="28"/>
      <c r="C17" s="28"/>
      <c r="D17" s="50">
        <f t="shared" si="0"/>
        <v>0</v>
      </c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53"/>
      <c r="AI17" s="31"/>
    </row>
    <row r="18" spans="1:35">
      <c r="A18" s="52">
        <v>4</v>
      </c>
      <c r="B18" s="28"/>
      <c r="C18" s="28"/>
      <c r="D18" s="50">
        <f t="shared" si="0"/>
        <v>0</v>
      </c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53"/>
      <c r="AI18" s="31"/>
    </row>
    <row r="19" spans="1:35">
      <c r="A19" s="52">
        <v>5</v>
      </c>
      <c r="B19" s="28"/>
      <c r="C19" s="28"/>
      <c r="D19" s="50">
        <f t="shared" si="0"/>
        <v>0</v>
      </c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53"/>
      <c r="AI19" s="31"/>
    </row>
    <row r="20" spans="1:35">
      <c r="A20" s="52">
        <v>6</v>
      </c>
      <c r="B20" s="28"/>
      <c r="C20" s="28"/>
      <c r="D20" s="50">
        <f t="shared" si="0"/>
        <v>0</v>
      </c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53"/>
      <c r="AI20" s="31"/>
    </row>
    <row r="21" spans="1:35">
      <c r="A21" s="52">
        <v>7</v>
      </c>
      <c r="B21" s="28"/>
      <c r="C21" s="28"/>
      <c r="D21" s="50">
        <f t="shared" si="0"/>
        <v>0</v>
      </c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53"/>
      <c r="AI21" s="31"/>
    </row>
    <row r="22" spans="1:35">
      <c r="A22" s="52">
        <v>8</v>
      </c>
      <c r="B22" s="28"/>
      <c r="C22" s="28"/>
      <c r="D22" s="50">
        <f t="shared" si="0"/>
        <v>0</v>
      </c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53"/>
      <c r="AI22" s="31"/>
    </row>
    <row r="23" spans="1:35">
      <c r="A23" s="52">
        <v>9</v>
      </c>
      <c r="B23" s="28"/>
      <c r="C23" s="28"/>
      <c r="D23" s="50">
        <f t="shared" si="0"/>
        <v>0</v>
      </c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53"/>
      <c r="AI23" s="31"/>
    </row>
    <row r="24" spans="1:35">
      <c r="A24" s="52">
        <v>10</v>
      </c>
      <c r="B24" s="28"/>
      <c r="C24" s="28"/>
      <c r="D24" s="50">
        <f t="shared" si="0"/>
        <v>0</v>
      </c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53"/>
      <c r="AI24" s="31"/>
    </row>
    <row r="25" spans="1:35">
      <c r="A25" s="52">
        <v>11</v>
      </c>
      <c r="B25" s="28"/>
      <c r="C25" s="28"/>
      <c r="D25" s="50">
        <f t="shared" si="0"/>
        <v>0</v>
      </c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53"/>
      <c r="AI25" s="31"/>
    </row>
    <row r="26" spans="1:35">
      <c r="A26" s="52">
        <v>12</v>
      </c>
      <c r="B26" s="28"/>
      <c r="C26" s="28"/>
      <c r="D26" s="50">
        <f t="shared" si="0"/>
        <v>0</v>
      </c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53"/>
      <c r="AI26" s="31"/>
    </row>
    <row r="27" spans="1:35">
      <c r="A27" s="52">
        <v>13</v>
      </c>
      <c r="B27" s="28"/>
      <c r="C27" s="28"/>
      <c r="D27" s="50">
        <f t="shared" si="0"/>
        <v>0</v>
      </c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53"/>
      <c r="AI27" s="31"/>
    </row>
    <row r="28" spans="1:35">
      <c r="A28" s="52">
        <v>14</v>
      </c>
      <c r="B28" s="28"/>
      <c r="C28" s="28"/>
      <c r="D28" s="50">
        <f t="shared" si="0"/>
        <v>0</v>
      </c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53"/>
      <c r="AI28" s="31"/>
    </row>
    <row r="29" spans="1:35">
      <c r="A29" s="52">
        <v>15</v>
      </c>
      <c r="B29" s="28"/>
      <c r="C29" s="28"/>
      <c r="D29" s="50">
        <f t="shared" si="0"/>
        <v>0</v>
      </c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53"/>
      <c r="AI29" s="31"/>
    </row>
    <row r="30" spans="1:35">
      <c r="A30" s="52">
        <v>16</v>
      </c>
      <c r="B30" s="28"/>
      <c r="C30" s="28"/>
      <c r="D30" s="50">
        <f t="shared" si="0"/>
        <v>0</v>
      </c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53"/>
      <c r="AI30" s="31"/>
    </row>
    <row r="31" spans="1:35" ht="13.8" thickBot="1">
      <c r="A31" s="54">
        <v>17</v>
      </c>
      <c r="B31" s="36"/>
      <c r="C31" s="36"/>
      <c r="D31" s="50">
        <f t="shared" si="0"/>
        <v>0</v>
      </c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55"/>
      <c r="AI31" s="40"/>
    </row>
    <row r="32" spans="1:35" ht="13.8" thickTop="1"/>
    <row r="36" spans="2:2">
      <c r="B36" s="48"/>
    </row>
  </sheetData>
  <mergeCells count="21">
    <mergeCell ref="H4:J4"/>
    <mergeCell ref="H5:J5"/>
    <mergeCell ref="H6:J6"/>
    <mergeCell ref="H7:J7"/>
    <mergeCell ref="H8:J8"/>
    <mergeCell ref="A12:A14"/>
    <mergeCell ref="B12:B14"/>
    <mergeCell ref="C12:C14"/>
    <mergeCell ref="D12:D14"/>
    <mergeCell ref="E12:K12"/>
    <mergeCell ref="L12:AA12"/>
    <mergeCell ref="AC12:AC14"/>
    <mergeCell ref="AD12:AH12"/>
    <mergeCell ref="AI12:AI14"/>
    <mergeCell ref="L13:N13"/>
    <mergeCell ref="O13:AA13"/>
    <mergeCell ref="AD13:AD14"/>
    <mergeCell ref="AF13:AF14"/>
    <mergeCell ref="AG13:AG14"/>
    <mergeCell ref="AH13:AH14"/>
    <mergeCell ref="AB12:AB14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4:AG32"/>
  <sheetViews>
    <sheetView workbookViewId="0">
      <pane xSplit="2" topLeftCell="L1" activePane="topRight" state="frozen"/>
      <selection pane="topRight" activeCell="X16" sqref="X16"/>
    </sheetView>
  </sheetViews>
  <sheetFormatPr defaultColWidth="14.44140625" defaultRowHeight="13.2"/>
  <cols>
    <col min="1" max="1" width="5.44140625" customWidth="1"/>
    <col min="2" max="2" width="29.33203125" customWidth="1"/>
    <col min="3" max="3" width="40.44140625" customWidth="1"/>
    <col min="4" max="4" width="10.44140625" style="1" customWidth="1"/>
    <col min="5" max="5" width="11" customWidth="1"/>
    <col min="6" max="7" width="10.44140625" customWidth="1"/>
    <col min="8" max="8" width="11" customWidth="1"/>
    <col min="9" max="9" width="17.6640625" customWidth="1"/>
    <col min="11" max="11" width="10.44140625" style="1" customWidth="1"/>
    <col min="12" max="12" width="12" customWidth="1"/>
    <col min="13" max="13" width="9.44140625" customWidth="1"/>
    <col min="14" max="14" width="10.6640625" customWidth="1"/>
    <col min="15" max="15" width="10" customWidth="1"/>
    <col min="16" max="17" width="10.33203125" customWidth="1"/>
    <col min="18" max="18" width="8.77734375" customWidth="1"/>
    <col min="19" max="19" width="13.77734375" customWidth="1"/>
    <col min="20" max="20" width="13.6640625" customWidth="1"/>
    <col min="21" max="21" width="15.33203125" customWidth="1"/>
    <col min="23" max="24" width="9.6640625" customWidth="1"/>
    <col min="25" max="25" width="8.33203125" customWidth="1"/>
    <col min="26" max="26" width="9.33203125" customWidth="1"/>
    <col min="27" max="27" width="8.6640625" customWidth="1"/>
    <col min="28" max="29" width="9.44140625" customWidth="1"/>
  </cols>
  <sheetData>
    <row r="4" spans="1:33">
      <c r="C4" s="2" t="s">
        <v>0</v>
      </c>
      <c r="D4" s="3" t="s">
        <v>1</v>
      </c>
      <c r="H4" s="78" t="s">
        <v>2</v>
      </c>
      <c r="I4" s="78"/>
      <c r="J4" s="78"/>
      <c r="K4" s="56" t="s">
        <v>1</v>
      </c>
    </row>
    <row r="5" spans="1:33">
      <c r="C5" s="4" t="s">
        <v>3</v>
      </c>
      <c r="D5" s="5">
        <v>15</v>
      </c>
      <c r="H5" s="79" t="s">
        <v>4</v>
      </c>
      <c r="I5" s="79"/>
      <c r="J5" s="79"/>
      <c r="K5" s="57">
        <v>10</v>
      </c>
    </row>
    <row r="6" spans="1:33">
      <c r="C6" s="4" t="s">
        <v>5</v>
      </c>
      <c r="D6" s="5">
        <v>5</v>
      </c>
      <c r="H6" s="79" t="s">
        <v>6</v>
      </c>
      <c r="I6" s="79"/>
      <c r="J6" s="79"/>
      <c r="K6" s="57">
        <v>15</v>
      </c>
    </row>
    <row r="7" spans="1:33">
      <c r="C7" s="6" t="s">
        <v>7</v>
      </c>
      <c r="D7" s="5">
        <v>20</v>
      </c>
      <c r="H7" s="79" t="s">
        <v>8</v>
      </c>
      <c r="I7" s="79"/>
      <c r="J7" s="79"/>
      <c r="K7" s="57">
        <v>10</v>
      </c>
    </row>
    <row r="8" spans="1:33">
      <c r="C8" s="7" t="s">
        <v>9</v>
      </c>
      <c r="D8" s="8">
        <v>20</v>
      </c>
      <c r="G8" s="48"/>
      <c r="H8" s="80" t="s">
        <v>10</v>
      </c>
      <c r="I8" s="80"/>
      <c r="J8" s="80"/>
      <c r="K8" s="58">
        <v>5</v>
      </c>
    </row>
    <row r="11" spans="1:33" ht="13.8" thickBot="1"/>
    <row r="12" spans="1:33" ht="14.55" customHeight="1" thickTop="1" thickBot="1">
      <c r="A12" s="73" t="s">
        <v>11</v>
      </c>
      <c r="B12" s="74" t="s">
        <v>12</v>
      </c>
      <c r="C12" s="75" t="s">
        <v>13</v>
      </c>
      <c r="D12" s="76" t="s">
        <v>14</v>
      </c>
      <c r="E12" s="85" t="s">
        <v>15</v>
      </c>
      <c r="F12" s="85"/>
      <c r="G12" s="85"/>
      <c r="H12" s="85"/>
      <c r="I12" s="85"/>
      <c r="J12" s="85"/>
      <c r="K12" s="85"/>
      <c r="L12" s="76" t="s">
        <v>0</v>
      </c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82" t="s">
        <v>74</v>
      </c>
      <c r="Y12" s="67" t="s">
        <v>16</v>
      </c>
      <c r="Z12" s="81" t="s">
        <v>2</v>
      </c>
      <c r="AA12" s="81"/>
      <c r="AB12" s="81"/>
      <c r="AC12" s="81"/>
      <c r="AD12" s="81"/>
      <c r="AE12" s="69" t="s">
        <v>17</v>
      </c>
      <c r="AF12" s="10"/>
      <c r="AG12" s="10"/>
    </row>
    <row r="13" spans="1:33" ht="70.2" customHeight="1" thickTop="1" thickBot="1">
      <c r="A13" s="73"/>
      <c r="B13" s="74"/>
      <c r="C13" s="74"/>
      <c r="D13" s="76"/>
      <c r="E13" s="9" t="s">
        <v>46</v>
      </c>
      <c r="F13" s="11" t="s">
        <v>19</v>
      </c>
      <c r="G13" s="11" t="s">
        <v>47</v>
      </c>
      <c r="H13" s="11" t="s">
        <v>48</v>
      </c>
      <c r="I13" s="11" t="s">
        <v>49</v>
      </c>
      <c r="J13" s="11" t="s">
        <v>50</v>
      </c>
      <c r="K13" s="13" t="s">
        <v>24</v>
      </c>
      <c r="L13" s="70" t="s">
        <v>25</v>
      </c>
      <c r="M13" s="70"/>
      <c r="N13" s="70"/>
      <c r="O13" s="70" t="s">
        <v>58</v>
      </c>
      <c r="P13" s="70"/>
      <c r="Q13" s="70"/>
      <c r="R13" s="70"/>
      <c r="S13" s="70"/>
      <c r="T13" s="70"/>
      <c r="U13" s="70"/>
      <c r="V13" s="70"/>
      <c r="W13" s="70"/>
      <c r="X13" s="83"/>
      <c r="Y13" s="67"/>
      <c r="Z13" s="69" t="s">
        <v>4</v>
      </c>
      <c r="AA13" s="14" t="s">
        <v>8</v>
      </c>
      <c r="AB13" s="71" t="s">
        <v>27</v>
      </c>
      <c r="AC13" s="71" t="s">
        <v>28</v>
      </c>
      <c r="AD13" s="72" t="s">
        <v>29</v>
      </c>
      <c r="AE13" s="69"/>
      <c r="AF13" s="10"/>
      <c r="AG13" s="10"/>
    </row>
    <row r="14" spans="1:33" ht="45" customHeight="1" thickTop="1" thickBot="1">
      <c r="A14" s="73"/>
      <c r="B14" s="74"/>
      <c r="C14" s="74"/>
      <c r="D14" s="76"/>
      <c r="E14" s="15" t="s">
        <v>30</v>
      </c>
      <c r="F14" s="16" t="s">
        <v>30</v>
      </c>
      <c r="G14" s="16" t="s">
        <v>30</v>
      </c>
      <c r="H14" s="16" t="s">
        <v>30</v>
      </c>
      <c r="I14" s="16" t="s">
        <v>30</v>
      </c>
      <c r="J14" s="16" t="s">
        <v>30</v>
      </c>
      <c r="K14" s="17" t="s">
        <v>30</v>
      </c>
      <c r="L14" s="11" t="s">
        <v>31</v>
      </c>
      <c r="M14" s="11" t="s">
        <v>5</v>
      </c>
      <c r="N14" s="11" t="s">
        <v>7</v>
      </c>
      <c r="O14" s="11" t="s">
        <v>32</v>
      </c>
      <c r="P14" s="11" t="s">
        <v>59</v>
      </c>
      <c r="Q14" s="12" t="s">
        <v>60</v>
      </c>
      <c r="R14" s="12" t="s">
        <v>61</v>
      </c>
      <c r="S14" s="11" t="s">
        <v>62</v>
      </c>
      <c r="T14" s="12" t="s">
        <v>63</v>
      </c>
      <c r="U14" s="12" t="s">
        <v>64</v>
      </c>
      <c r="V14" s="12" t="s">
        <v>57</v>
      </c>
      <c r="W14" s="12" t="s">
        <v>65</v>
      </c>
      <c r="X14" s="84"/>
      <c r="Y14" s="67"/>
      <c r="Z14" s="67"/>
      <c r="AA14" s="18" t="s">
        <v>30</v>
      </c>
      <c r="AB14" s="71"/>
      <c r="AC14" s="71"/>
      <c r="AD14" s="72"/>
      <c r="AE14" s="69"/>
      <c r="AF14" s="10"/>
      <c r="AG14" s="10"/>
    </row>
    <row r="15" spans="1:33" ht="13.8" thickTop="1">
      <c r="A15" s="49">
        <v>1</v>
      </c>
      <c r="B15" s="20" t="s">
        <v>44</v>
      </c>
      <c r="C15" s="21"/>
      <c r="D15" s="50">
        <f>($K$6*SUM(E15:K15)/7+($D$5*L15+$D$6*M15+$D$7*N15+$D$8*SUM(O15:W15)*X15*Y15/9)+$K$5*Z15+$K$7*AA15+$K$8*AB15)*(1-AC15)*(1-AE15)</f>
        <v>100</v>
      </c>
      <c r="E15" s="24">
        <v>1</v>
      </c>
      <c r="F15" s="24">
        <v>1</v>
      </c>
      <c r="G15" s="24">
        <v>1</v>
      </c>
      <c r="H15" s="24">
        <v>1</v>
      </c>
      <c r="I15" s="24">
        <v>1</v>
      </c>
      <c r="J15" s="24">
        <v>1</v>
      </c>
      <c r="K15" s="24">
        <v>1</v>
      </c>
      <c r="L15" s="24">
        <v>1</v>
      </c>
      <c r="M15" s="24">
        <v>1</v>
      </c>
      <c r="N15" s="24">
        <v>1</v>
      </c>
      <c r="O15" s="24">
        <v>1</v>
      </c>
      <c r="P15" s="24">
        <v>1</v>
      </c>
      <c r="Q15" s="24">
        <v>1</v>
      </c>
      <c r="R15" s="24">
        <v>1</v>
      </c>
      <c r="S15" s="24">
        <v>1</v>
      </c>
      <c r="T15" s="24">
        <v>1</v>
      </c>
      <c r="U15" s="24">
        <v>1</v>
      </c>
      <c r="V15" s="24">
        <v>1</v>
      </c>
      <c r="W15" s="24">
        <v>1</v>
      </c>
      <c r="X15" s="24">
        <v>1</v>
      </c>
      <c r="Y15" s="24">
        <v>1</v>
      </c>
      <c r="Z15" s="24">
        <v>1</v>
      </c>
      <c r="AA15" s="24">
        <v>1</v>
      </c>
      <c r="AB15" s="24">
        <v>1</v>
      </c>
      <c r="AC15" s="24">
        <v>0</v>
      </c>
      <c r="AD15" s="51"/>
      <c r="AE15" s="25"/>
    </row>
    <row r="16" spans="1:33">
      <c r="A16" s="52">
        <v>2</v>
      </c>
      <c r="B16" s="27" t="s">
        <v>45</v>
      </c>
      <c r="C16" s="28"/>
      <c r="D16" s="50">
        <f t="shared" ref="D16:D31" si="0">($K$6*SUM(E16:K16)/7+($D$5*L16+$D$6*M16+$D$7*N16+$D$8*SUM(O16:W16)*X16*Y16/9)+$K$5*Z16+$K$7*AA16+$K$8*AB16)*(1-AC16)*(1-AE16)</f>
        <v>0</v>
      </c>
      <c r="E16" s="30">
        <v>1</v>
      </c>
      <c r="F16" s="30">
        <v>1</v>
      </c>
      <c r="G16" s="30">
        <v>0.5</v>
      </c>
      <c r="H16" s="30">
        <v>0.5</v>
      </c>
      <c r="I16" s="30">
        <v>1</v>
      </c>
      <c r="J16" s="30">
        <v>1</v>
      </c>
      <c r="K16" s="30">
        <v>1</v>
      </c>
      <c r="L16" s="30">
        <v>0.6</v>
      </c>
      <c r="M16" s="30">
        <v>0.8</v>
      </c>
      <c r="N16" s="30">
        <v>0.6</v>
      </c>
      <c r="O16" s="30">
        <v>1</v>
      </c>
      <c r="P16" s="30">
        <v>1</v>
      </c>
      <c r="Q16" s="30">
        <v>1</v>
      </c>
      <c r="R16" s="30">
        <v>0</v>
      </c>
      <c r="S16" s="30">
        <v>0</v>
      </c>
      <c r="T16" s="30">
        <v>1</v>
      </c>
      <c r="U16" s="30">
        <v>0</v>
      </c>
      <c r="V16" s="30">
        <v>0</v>
      </c>
      <c r="W16" s="30">
        <v>0</v>
      </c>
      <c r="X16" s="30">
        <v>1</v>
      </c>
      <c r="Y16" s="30">
        <v>0.75</v>
      </c>
      <c r="Z16" s="30">
        <v>0.6</v>
      </c>
      <c r="AA16" s="30">
        <v>1</v>
      </c>
      <c r="AB16" s="30">
        <v>0</v>
      </c>
      <c r="AC16" s="30">
        <v>1</v>
      </c>
      <c r="AD16" s="53"/>
      <c r="AE16" s="31"/>
    </row>
    <row r="17" spans="1:31">
      <c r="A17" s="52">
        <v>3</v>
      </c>
      <c r="B17" s="27"/>
      <c r="C17" s="28"/>
      <c r="D17" s="50">
        <f t="shared" si="0"/>
        <v>0</v>
      </c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3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53"/>
      <c r="AE17" s="31"/>
    </row>
    <row r="18" spans="1:31">
      <c r="A18" s="52">
        <v>4</v>
      </c>
      <c r="B18" s="27"/>
      <c r="C18" s="28"/>
      <c r="D18" s="50">
        <f t="shared" si="0"/>
        <v>0</v>
      </c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3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53"/>
      <c r="AE18" s="31"/>
    </row>
    <row r="19" spans="1:31">
      <c r="A19" s="52">
        <v>5</v>
      </c>
      <c r="B19" s="27"/>
      <c r="C19" s="28"/>
      <c r="D19" s="50">
        <f t="shared" si="0"/>
        <v>0</v>
      </c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3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53"/>
      <c r="AE19" s="31"/>
    </row>
    <row r="20" spans="1:31">
      <c r="A20" s="52">
        <v>6</v>
      </c>
      <c r="B20" s="27"/>
      <c r="C20" s="28"/>
      <c r="D20" s="50">
        <f t="shared" si="0"/>
        <v>0</v>
      </c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3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53"/>
      <c r="AE20" s="31"/>
    </row>
    <row r="21" spans="1:31">
      <c r="A21" s="52">
        <v>7</v>
      </c>
      <c r="B21" s="27"/>
      <c r="C21" s="28"/>
      <c r="D21" s="50">
        <f t="shared" si="0"/>
        <v>0</v>
      </c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3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53"/>
      <c r="AE21" s="31"/>
    </row>
    <row r="22" spans="1:31">
      <c r="A22" s="52">
        <v>8</v>
      </c>
      <c r="B22" s="27"/>
      <c r="C22" s="28"/>
      <c r="D22" s="50">
        <f t="shared" si="0"/>
        <v>0</v>
      </c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3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53"/>
      <c r="AE22" s="31"/>
    </row>
    <row r="23" spans="1:31">
      <c r="A23" s="52">
        <v>9</v>
      </c>
      <c r="B23" s="27"/>
      <c r="C23" s="28"/>
      <c r="D23" s="50">
        <f t="shared" si="0"/>
        <v>0</v>
      </c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3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53"/>
      <c r="AE23" s="31"/>
    </row>
    <row r="24" spans="1:31">
      <c r="A24" s="52">
        <v>10</v>
      </c>
      <c r="B24" s="28"/>
      <c r="C24" s="28"/>
      <c r="D24" s="50">
        <f t="shared" si="0"/>
        <v>0</v>
      </c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53"/>
      <c r="AE24" s="31"/>
    </row>
    <row r="25" spans="1:31">
      <c r="A25" s="52">
        <v>11</v>
      </c>
      <c r="B25" s="28"/>
      <c r="C25" s="28"/>
      <c r="D25" s="50">
        <f t="shared" si="0"/>
        <v>0</v>
      </c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53"/>
      <c r="AE25" s="31"/>
    </row>
    <row r="26" spans="1:31">
      <c r="A26" s="52">
        <v>12</v>
      </c>
      <c r="B26" s="28"/>
      <c r="C26" s="28"/>
      <c r="D26" s="50">
        <f t="shared" si="0"/>
        <v>0</v>
      </c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59"/>
      <c r="S26" s="59"/>
      <c r="T26" s="59"/>
      <c r="U26" s="59"/>
      <c r="V26" s="59"/>
      <c r="W26" s="59"/>
      <c r="X26" s="59"/>
      <c r="Y26" s="33"/>
      <c r="Z26" s="33"/>
      <c r="AA26" s="33"/>
      <c r="AB26" s="33"/>
      <c r="AC26" s="33"/>
      <c r="AD26" s="53"/>
      <c r="AE26" s="31"/>
    </row>
    <row r="27" spans="1:31">
      <c r="A27" s="52">
        <v>13</v>
      </c>
      <c r="B27" s="28"/>
      <c r="C27" s="28"/>
      <c r="D27" s="50">
        <f t="shared" si="0"/>
        <v>0</v>
      </c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53"/>
      <c r="AE27" s="31"/>
    </row>
    <row r="28" spans="1:31">
      <c r="A28" s="52">
        <v>14</v>
      </c>
      <c r="B28" s="28"/>
      <c r="C28" s="28"/>
      <c r="D28" s="50">
        <f t="shared" si="0"/>
        <v>0</v>
      </c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53"/>
      <c r="AE28" s="31"/>
    </row>
    <row r="29" spans="1:31">
      <c r="A29" s="52">
        <v>15</v>
      </c>
      <c r="B29" s="28"/>
      <c r="C29" s="28"/>
      <c r="D29" s="50">
        <f t="shared" si="0"/>
        <v>0</v>
      </c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53"/>
      <c r="AE29" s="31"/>
    </row>
    <row r="30" spans="1:31">
      <c r="A30" s="52">
        <v>16</v>
      </c>
      <c r="B30" s="28"/>
      <c r="C30" s="28"/>
      <c r="D30" s="50">
        <f t="shared" si="0"/>
        <v>0</v>
      </c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53"/>
      <c r="AE30" s="31"/>
    </row>
    <row r="31" spans="1:31" ht="13.8" thickBot="1">
      <c r="A31" s="54">
        <v>17</v>
      </c>
      <c r="B31" s="36"/>
      <c r="C31" s="36"/>
      <c r="D31" s="50">
        <f t="shared" si="0"/>
        <v>0</v>
      </c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55"/>
      <c r="AE31" s="40"/>
    </row>
    <row r="32" spans="1:31" ht="13.8" thickTop="1"/>
  </sheetData>
  <mergeCells count="21">
    <mergeCell ref="H4:J4"/>
    <mergeCell ref="H5:J5"/>
    <mergeCell ref="H6:J6"/>
    <mergeCell ref="H7:J7"/>
    <mergeCell ref="H8:J8"/>
    <mergeCell ref="A12:A14"/>
    <mergeCell ref="B12:B14"/>
    <mergeCell ref="C12:C14"/>
    <mergeCell ref="D12:D14"/>
    <mergeCell ref="E12:K12"/>
    <mergeCell ref="L12:W12"/>
    <mergeCell ref="Y12:Y14"/>
    <mergeCell ref="Z12:AD12"/>
    <mergeCell ref="AE12:AE14"/>
    <mergeCell ref="L13:N13"/>
    <mergeCell ref="O13:W13"/>
    <mergeCell ref="Z13:Z14"/>
    <mergeCell ref="AB13:AB14"/>
    <mergeCell ref="AC13:AC14"/>
    <mergeCell ref="AD13:AD14"/>
    <mergeCell ref="X12:X14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>
  <dimension ref="A4:AE32"/>
  <sheetViews>
    <sheetView zoomScale="129" zoomScaleNormal="129" workbookViewId="0">
      <pane xSplit="2" topLeftCell="C1" activePane="topRight" state="frozen"/>
      <selection pane="topRight" activeCell="V16" sqref="V16"/>
    </sheetView>
  </sheetViews>
  <sheetFormatPr defaultColWidth="14.44140625" defaultRowHeight="13.2"/>
  <cols>
    <col min="1" max="1" width="5.44140625" customWidth="1"/>
    <col min="2" max="2" width="29.33203125" customWidth="1"/>
    <col min="3" max="3" width="40.77734375" customWidth="1"/>
    <col min="4" max="4" width="10.6640625" style="1" customWidth="1"/>
    <col min="5" max="5" width="11" customWidth="1"/>
    <col min="6" max="7" width="10.44140625" customWidth="1"/>
    <col min="8" max="8" width="11" customWidth="1"/>
    <col min="9" max="9" width="17.6640625" customWidth="1"/>
    <col min="11" max="11" width="10.33203125" style="1" customWidth="1"/>
    <col min="12" max="12" width="12" customWidth="1"/>
    <col min="13" max="13" width="9.44140625" customWidth="1"/>
    <col min="14" max="14" width="10.6640625" customWidth="1"/>
    <col min="15" max="15" width="10" customWidth="1"/>
    <col min="16" max="16" width="8.77734375" customWidth="1"/>
    <col min="17" max="17" width="12.6640625" customWidth="1"/>
    <col min="18" max="18" width="19.77734375" customWidth="1"/>
    <col min="19" max="19" width="12.6640625" customWidth="1"/>
    <col min="20" max="20" width="12.44140625" customWidth="1"/>
    <col min="21" max="22" width="9.6640625" customWidth="1"/>
    <col min="23" max="23" width="8.33203125" customWidth="1"/>
    <col min="24" max="24" width="9.33203125" customWidth="1"/>
    <col min="25" max="25" width="8.6640625" customWidth="1"/>
    <col min="26" max="27" width="9.44140625" customWidth="1"/>
    <col min="28" max="28" width="33.33203125" customWidth="1"/>
  </cols>
  <sheetData>
    <row r="4" spans="1:31">
      <c r="B4" s="10"/>
      <c r="C4" s="2" t="s">
        <v>0</v>
      </c>
      <c r="D4" s="3" t="s">
        <v>1</v>
      </c>
      <c r="H4" s="78" t="s">
        <v>2</v>
      </c>
      <c r="I4" s="78"/>
      <c r="J4" s="78"/>
      <c r="K4" s="3" t="s">
        <v>1</v>
      </c>
    </row>
    <row r="5" spans="1:31">
      <c r="B5" s="60"/>
      <c r="C5" s="4" t="s">
        <v>3</v>
      </c>
      <c r="D5" s="5">
        <v>15</v>
      </c>
      <c r="H5" s="79" t="s">
        <v>4</v>
      </c>
      <c r="I5" s="79"/>
      <c r="J5" s="79"/>
      <c r="K5" s="5">
        <v>10</v>
      </c>
    </row>
    <row r="6" spans="1:31">
      <c r="B6" s="60"/>
      <c r="C6" s="4" t="s">
        <v>5</v>
      </c>
      <c r="D6" s="5">
        <v>5</v>
      </c>
      <c r="H6" s="79" t="s">
        <v>6</v>
      </c>
      <c r="I6" s="79"/>
      <c r="J6" s="79"/>
      <c r="K6" s="5">
        <v>15</v>
      </c>
    </row>
    <row r="7" spans="1:31">
      <c r="C7" s="6" t="s">
        <v>7</v>
      </c>
      <c r="D7" s="5">
        <v>20</v>
      </c>
      <c r="H7" s="79" t="s">
        <v>8</v>
      </c>
      <c r="I7" s="79"/>
      <c r="J7" s="79"/>
      <c r="K7" s="5">
        <v>10</v>
      </c>
    </row>
    <row r="8" spans="1:31">
      <c r="B8" s="60"/>
      <c r="C8" s="7" t="s">
        <v>9</v>
      </c>
      <c r="D8" s="8">
        <v>20</v>
      </c>
      <c r="G8" s="48"/>
      <c r="H8" s="80" t="s">
        <v>10</v>
      </c>
      <c r="I8" s="80"/>
      <c r="J8" s="80"/>
      <c r="K8" s="8">
        <v>5</v>
      </c>
    </row>
    <row r="11" spans="1:31" ht="13.8" thickBot="1"/>
    <row r="12" spans="1:31" ht="14.55" customHeight="1" thickTop="1" thickBot="1">
      <c r="A12" s="73" t="s">
        <v>11</v>
      </c>
      <c r="B12" s="86" t="s">
        <v>12</v>
      </c>
      <c r="C12" s="87" t="s">
        <v>13</v>
      </c>
      <c r="D12" s="76" t="s">
        <v>14</v>
      </c>
      <c r="E12" s="77" t="s">
        <v>15</v>
      </c>
      <c r="F12" s="77"/>
      <c r="G12" s="77"/>
      <c r="H12" s="77"/>
      <c r="I12" s="77"/>
      <c r="J12" s="77"/>
      <c r="K12" s="77"/>
      <c r="L12" s="66" t="s">
        <v>0</v>
      </c>
      <c r="M12" s="66"/>
      <c r="N12" s="66"/>
      <c r="O12" s="66"/>
      <c r="P12" s="66"/>
      <c r="Q12" s="66"/>
      <c r="R12" s="66"/>
      <c r="S12" s="66"/>
      <c r="T12" s="66"/>
      <c r="U12" s="66"/>
      <c r="V12" s="82" t="s">
        <v>74</v>
      </c>
      <c r="W12" s="67" t="s">
        <v>16</v>
      </c>
      <c r="X12" s="68" t="s">
        <v>2</v>
      </c>
      <c r="Y12" s="68"/>
      <c r="Z12" s="68"/>
      <c r="AA12" s="68"/>
      <c r="AB12" s="68"/>
      <c r="AC12" s="69" t="s">
        <v>17</v>
      </c>
      <c r="AD12" s="10"/>
      <c r="AE12" s="10"/>
    </row>
    <row r="13" spans="1:31" s="63" customFormat="1" ht="69" customHeight="1" thickTop="1" thickBot="1">
      <c r="A13" s="73"/>
      <c r="B13" s="86"/>
      <c r="C13" s="86"/>
      <c r="D13" s="76"/>
      <c r="E13" s="9" t="s">
        <v>46</v>
      </c>
      <c r="F13" s="11" t="s">
        <v>19</v>
      </c>
      <c r="G13" s="11" t="s">
        <v>47</v>
      </c>
      <c r="H13" s="11" t="s">
        <v>48</v>
      </c>
      <c r="I13" s="11" t="s">
        <v>49</v>
      </c>
      <c r="J13" s="11" t="s">
        <v>50</v>
      </c>
      <c r="K13" s="13" t="s">
        <v>24</v>
      </c>
      <c r="L13" s="70" t="s">
        <v>25</v>
      </c>
      <c r="M13" s="70"/>
      <c r="N13" s="70"/>
      <c r="O13" s="70" t="s">
        <v>26</v>
      </c>
      <c r="P13" s="70"/>
      <c r="Q13" s="70"/>
      <c r="R13" s="70"/>
      <c r="S13" s="70"/>
      <c r="T13" s="70"/>
      <c r="U13" s="70"/>
      <c r="V13" s="83"/>
      <c r="W13" s="67"/>
      <c r="X13" s="69" t="s">
        <v>4</v>
      </c>
      <c r="Y13" s="61" t="s">
        <v>8</v>
      </c>
      <c r="Z13" s="71" t="s">
        <v>27</v>
      </c>
      <c r="AA13" s="71" t="s">
        <v>28</v>
      </c>
      <c r="AB13" s="72" t="s">
        <v>29</v>
      </c>
      <c r="AC13" s="69"/>
      <c r="AD13" s="62"/>
      <c r="AE13" s="62"/>
    </row>
    <row r="14" spans="1:31" s="63" customFormat="1" ht="57" customHeight="1" thickTop="1" thickBot="1">
      <c r="A14" s="73"/>
      <c r="B14" s="86"/>
      <c r="C14" s="86"/>
      <c r="D14" s="76"/>
      <c r="E14" s="15" t="s">
        <v>30</v>
      </c>
      <c r="F14" s="16" t="s">
        <v>30</v>
      </c>
      <c r="G14" s="16" t="s">
        <v>30</v>
      </c>
      <c r="H14" s="16" t="s">
        <v>30</v>
      </c>
      <c r="I14" s="16" t="s">
        <v>30</v>
      </c>
      <c r="J14" s="16" t="s">
        <v>30</v>
      </c>
      <c r="K14" s="17" t="s">
        <v>30</v>
      </c>
      <c r="L14" s="11" t="s">
        <v>31</v>
      </c>
      <c r="M14" s="11" t="s">
        <v>5</v>
      </c>
      <c r="N14" s="11" t="s">
        <v>7</v>
      </c>
      <c r="O14" s="11" t="s">
        <v>32</v>
      </c>
      <c r="P14" s="12" t="s">
        <v>61</v>
      </c>
      <c r="Q14" s="12" t="s">
        <v>66</v>
      </c>
      <c r="R14" s="12" t="s">
        <v>67</v>
      </c>
      <c r="S14" s="12" t="s">
        <v>68</v>
      </c>
      <c r="T14" s="12" t="s">
        <v>57</v>
      </c>
      <c r="U14" s="64" t="s">
        <v>75</v>
      </c>
      <c r="V14" s="84"/>
      <c r="W14" s="67"/>
      <c r="X14" s="67"/>
      <c r="Y14" s="15" t="s">
        <v>30</v>
      </c>
      <c r="Z14" s="71"/>
      <c r="AA14" s="71"/>
      <c r="AB14" s="72"/>
      <c r="AC14" s="69"/>
      <c r="AD14" s="62"/>
      <c r="AE14" s="62"/>
    </row>
    <row r="15" spans="1:31" ht="13.8" thickTop="1">
      <c r="A15" s="49">
        <v>1</v>
      </c>
      <c r="B15" s="20" t="s">
        <v>44</v>
      </c>
      <c r="C15" s="21"/>
      <c r="D15" s="22">
        <f>($K$6*SUM(E15:K15)/7+($D$5*L15+$D$6*M15+$D$7*N15+$D$8*SUM(O15:U15)*V15*W15/7)+$K$5*X15+$K$7*Y15+$K$8*Z15)*(1-AA15)*(1-AC15)</f>
        <v>100</v>
      </c>
      <c r="E15" s="23">
        <v>1</v>
      </c>
      <c r="F15" s="23">
        <v>1</v>
      </c>
      <c r="G15" s="23">
        <v>1</v>
      </c>
      <c r="H15" s="23">
        <v>1</v>
      </c>
      <c r="I15" s="23">
        <v>1</v>
      </c>
      <c r="J15" s="23">
        <v>1</v>
      </c>
      <c r="K15" s="23">
        <v>1</v>
      </c>
      <c r="L15" s="23">
        <v>1</v>
      </c>
      <c r="M15" s="23">
        <v>1</v>
      </c>
      <c r="N15" s="23">
        <v>1</v>
      </c>
      <c r="O15" s="24">
        <v>1</v>
      </c>
      <c r="P15" s="23">
        <v>1</v>
      </c>
      <c r="Q15" s="23">
        <v>1</v>
      </c>
      <c r="R15" s="23">
        <v>1</v>
      </c>
      <c r="S15" s="23">
        <v>1</v>
      </c>
      <c r="T15" s="23">
        <v>1</v>
      </c>
      <c r="U15" s="23">
        <v>1</v>
      </c>
      <c r="V15" s="23">
        <v>1</v>
      </c>
      <c r="W15" s="23">
        <v>1</v>
      </c>
      <c r="X15" s="23">
        <v>1</v>
      </c>
      <c r="Y15" s="23">
        <v>1</v>
      </c>
      <c r="Z15" s="23">
        <v>1</v>
      </c>
      <c r="AA15" s="23">
        <v>0</v>
      </c>
      <c r="AB15" s="25"/>
      <c r="AC15" s="25"/>
    </row>
    <row r="16" spans="1:31">
      <c r="A16" s="52">
        <v>2</v>
      </c>
      <c r="B16" s="27" t="s">
        <v>45</v>
      </c>
      <c r="C16" s="28"/>
      <c r="D16" s="22">
        <f t="shared" ref="D16:D31" si="0">($K$6*SUM(E16:K16)/7+($D$5*L16+$D$6*M16+$D$7*N16+$D$8*SUM(O16:U16)*V16*W16/7)+$K$5*X16+$K$7*Y16+$K$8*Z16)*(1-AA16)*(1-AC16)</f>
        <v>29.071428571428569</v>
      </c>
      <c r="E16" s="23">
        <v>1</v>
      </c>
      <c r="F16" s="23">
        <v>1</v>
      </c>
      <c r="G16" s="23">
        <v>0.5</v>
      </c>
      <c r="H16" s="23">
        <v>0.5</v>
      </c>
      <c r="I16" s="23">
        <v>1</v>
      </c>
      <c r="J16" s="23">
        <v>1</v>
      </c>
      <c r="K16" s="23">
        <v>1</v>
      </c>
      <c r="L16" s="23">
        <v>0.6</v>
      </c>
      <c r="M16" s="23">
        <v>0.8</v>
      </c>
      <c r="N16" s="23">
        <v>0.6</v>
      </c>
      <c r="O16" s="24">
        <v>1</v>
      </c>
      <c r="P16" s="23">
        <v>0</v>
      </c>
      <c r="Q16" s="23">
        <v>0</v>
      </c>
      <c r="R16" s="23">
        <v>1</v>
      </c>
      <c r="S16" s="23">
        <v>0</v>
      </c>
      <c r="T16" s="23">
        <v>0</v>
      </c>
      <c r="U16" s="23"/>
      <c r="V16" s="23">
        <v>1</v>
      </c>
      <c r="W16" s="23">
        <v>0.75</v>
      </c>
      <c r="X16" s="23">
        <v>0.6</v>
      </c>
      <c r="Y16" s="23">
        <v>1</v>
      </c>
      <c r="Z16" s="23">
        <v>0</v>
      </c>
      <c r="AA16" s="23">
        <v>0</v>
      </c>
      <c r="AB16" s="25"/>
      <c r="AC16" s="31">
        <v>0.5</v>
      </c>
    </row>
    <row r="17" spans="1:29">
      <c r="A17" s="52">
        <v>3</v>
      </c>
      <c r="B17" s="28"/>
      <c r="C17" s="28"/>
      <c r="D17" s="22">
        <f t="shared" si="0"/>
        <v>0</v>
      </c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4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5"/>
      <c r="AC17" s="31"/>
    </row>
    <row r="18" spans="1:29">
      <c r="A18" s="52">
        <v>4</v>
      </c>
      <c r="B18" s="28"/>
      <c r="C18" s="28"/>
      <c r="D18" s="22">
        <f t="shared" si="0"/>
        <v>0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4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5"/>
      <c r="AC18" s="31"/>
    </row>
    <row r="19" spans="1:29">
      <c r="A19" s="52">
        <v>5</v>
      </c>
      <c r="B19" s="28"/>
      <c r="C19" s="28"/>
      <c r="D19" s="22">
        <f t="shared" si="0"/>
        <v>0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4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5"/>
      <c r="AC19" s="31"/>
    </row>
    <row r="20" spans="1:29">
      <c r="A20" s="52">
        <v>6</v>
      </c>
      <c r="B20" s="28"/>
      <c r="C20" s="28"/>
      <c r="D20" s="22">
        <f t="shared" si="0"/>
        <v>0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4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5"/>
      <c r="AC20" s="31"/>
    </row>
    <row r="21" spans="1:29">
      <c r="A21" s="52">
        <v>7</v>
      </c>
      <c r="B21" s="28"/>
      <c r="C21" s="28"/>
      <c r="D21" s="22">
        <f t="shared" si="0"/>
        <v>0</v>
      </c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4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5"/>
      <c r="AC21" s="31"/>
    </row>
    <row r="22" spans="1:29">
      <c r="A22" s="52">
        <v>8</v>
      </c>
      <c r="B22" s="28"/>
      <c r="C22" s="28"/>
      <c r="D22" s="22">
        <f t="shared" si="0"/>
        <v>0</v>
      </c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4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5"/>
      <c r="AC22" s="31"/>
    </row>
    <row r="23" spans="1:29">
      <c r="A23" s="52">
        <v>9</v>
      </c>
      <c r="B23" s="28"/>
      <c r="C23" s="28"/>
      <c r="D23" s="22">
        <f t="shared" si="0"/>
        <v>0</v>
      </c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4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5"/>
      <c r="AC23" s="31"/>
    </row>
    <row r="24" spans="1:29">
      <c r="A24" s="52">
        <v>10</v>
      </c>
      <c r="B24" s="28"/>
      <c r="C24" s="28"/>
      <c r="D24" s="22">
        <f t="shared" si="0"/>
        <v>0</v>
      </c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4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5"/>
      <c r="AC24" s="31"/>
    </row>
    <row r="25" spans="1:29">
      <c r="A25" s="52">
        <v>11</v>
      </c>
      <c r="B25" s="28"/>
      <c r="C25" s="28"/>
      <c r="D25" s="22">
        <f t="shared" si="0"/>
        <v>0</v>
      </c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4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5"/>
      <c r="AC25" s="31"/>
    </row>
    <row r="26" spans="1:29">
      <c r="A26" s="52">
        <v>12</v>
      </c>
      <c r="B26" s="28"/>
      <c r="C26" s="28"/>
      <c r="D26" s="22">
        <f t="shared" si="0"/>
        <v>0</v>
      </c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4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5"/>
      <c r="AC26" s="31"/>
    </row>
    <row r="27" spans="1:29">
      <c r="A27" s="52">
        <v>13</v>
      </c>
      <c r="B27" s="28"/>
      <c r="C27" s="28"/>
      <c r="D27" s="22">
        <f t="shared" si="0"/>
        <v>0</v>
      </c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4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5"/>
      <c r="AC27" s="31"/>
    </row>
    <row r="28" spans="1:29">
      <c r="A28" s="52">
        <v>14</v>
      </c>
      <c r="B28" s="28"/>
      <c r="C28" s="28"/>
      <c r="D28" s="22">
        <f t="shared" si="0"/>
        <v>0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4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5"/>
      <c r="AC28" s="31"/>
    </row>
    <row r="29" spans="1:29">
      <c r="A29" s="52">
        <v>15</v>
      </c>
      <c r="B29" s="28"/>
      <c r="C29" s="28"/>
      <c r="D29" s="22">
        <f t="shared" si="0"/>
        <v>0</v>
      </c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4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5"/>
      <c r="AC29" s="31"/>
    </row>
    <row r="30" spans="1:29">
      <c r="A30" s="52">
        <v>16</v>
      </c>
      <c r="B30" s="28"/>
      <c r="C30" s="28"/>
      <c r="D30" s="22">
        <f t="shared" si="0"/>
        <v>0</v>
      </c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4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5"/>
      <c r="AC30" s="31"/>
    </row>
    <row r="31" spans="1:29" ht="13.8" thickBot="1">
      <c r="A31" s="54">
        <v>17</v>
      </c>
      <c r="B31" s="36"/>
      <c r="C31" s="36"/>
      <c r="D31" s="22">
        <f t="shared" si="0"/>
        <v>0</v>
      </c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55"/>
      <c r="AC31" s="40"/>
    </row>
    <row r="32" spans="1:29" ht="13.8" thickTop="1"/>
  </sheetData>
  <mergeCells count="21">
    <mergeCell ref="H4:J4"/>
    <mergeCell ref="H5:J5"/>
    <mergeCell ref="H6:J6"/>
    <mergeCell ref="H7:J7"/>
    <mergeCell ref="H8:J8"/>
    <mergeCell ref="A12:A14"/>
    <mergeCell ref="B12:B14"/>
    <mergeCell ref="C12:C14"/>
    <mergeCell ref="D12:D14"/>
    <mergeCell ref="E12:K12"/>
    <mergeCell ref="L12:U12"/>
    <mergeCell ref="W12:W14"/>
    <mergeCell ref="X12:AB12"/>
    <mergeCell ref="AC12:AC14"/>
    <mergeCell ref="L13:N13"/>
    <mergeCell ref="O13:U13"/>
    <mergeCell ref="X13:X14"/>
    <mergeCell ref="Z13:Z14"/>
    <mergeCell ref="AA13:AA14"/>
    <mergeCell ref="AB13:AB14"/>
    <mergeCell ref="V12:V14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QT</vt:lpstr>
      <vt:lpstr>Arcade</vt:lpstr>
      <vt:lpstr>WEBсайт</vt:lpstr>
      <vt:lpstr>WEBнавыкбот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Nelly</dc:creator>
  <cp:lastModifiedBy>lis</cp:lastModifiedBy>
  <cp:revision>6</cp:revision>
  <dcterms:created xsi:type="dcterms:W3CDTF">2021-08-06T10:46:45Z</dcterms:created>
  <dcterms:modified xsi:type="dcterms:W3CDTF">2026-01-02T15:17:16Z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